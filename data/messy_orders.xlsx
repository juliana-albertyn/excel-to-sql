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pwork_projects\excel_to_sql_pipeline\data\"/>
    </mc:Choice>
  </mc:AlternateContent>
  <xr:revisionPtr revIDLastSave="0" documentId="13_ncr:1_{43F8731F-3B2D-45FE-8FC7-C4BE28602217}" xr6:coauthVersionLast="47" xr6:coauthVersionMax="47" xr10:uidLastSave="{00000000-0000-0000-0000-000000000000}"/>
  <bookViews>
    <workbookView xWindow="2610" yWindow="1710" windowWidth="21600" windowHeight="8835" xr2:uid="{00000000-000D-0000-FFFF-FFFF00000000}"/>
  </bookViews>
  <sheets>
    <sheet name="Customers" sheetId="1" r:id="rId1"/>
    <sheet name="Products" sheetId="2" r:id="rId2"/>
    <sheet name="Orders" sheetId="3" r:id="rId3"/>
    <sheet name="OrderItem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4" l="1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1" i="4"/>
  <c r="E10" i="4"/>
  <c r="E9" i="4"/>
  <c r="E8" i="4"/>
  <c r="E7" i="4"/>
  <c r="E6" i="4"/>
  <c r="E5" i="4"/>
  <c r="E4" i="4"/>
  <c r="E2" i="4"/>
  <c r="E3" i="4"/>
</calcChain>
</file>

<file path=xl/sharedStrings.xml><?xml version="1.0" encoding="utf-8"?>
<sst xmlns="http://schemas.openxmlformats.org/spreadsheetml/2006/main" count="175" uniqueCount="148">
  <si>
    <t>id</t>
  </si>
  <si>
    <t>name</t>
  </si>
  <si>
    <t>email</t>
  </si>
  <si>
    <t>mobile</t>
  </si>
  <si>
    <t>city</t>
  </si>
  <si>
    <t>join_date</t>
  </si>
  <si>
    <t xml:space="preserve"> Rebecca Ramos  </t>
  </si>
  <si>
    <t>courtney26@example.net</t>
  </si>
  <si>
    <t>0802355323</t>
  </si>
  <si>
    <t>Durban</t>
  </si>
  <si>
    <t>06-02-2023</t>
  </si>
  <si>
    <t>Alan Lopez</t>
  </si>
  <si>
    <t>iherrera@example.org</t>
  </si>
  <si>
    <t>0715487129</t>
  </si>
  <si>
    <t>03/03/2025</t>
  </si>
  <si>
    <t>Jonathan Hernandez</t>
  </si>
  <si>
    <t>andersonjonathan@example.org</t>
  </si>
  <si>
    <t>071746316</t>
  </si>
  <si>
    <t>Bloemfontein</t>
  </si>
  <si>
    <t>09-28-2022</t>
  </si>
  <si>
    <t>Michael Lawrence</t>
  </si>
  <si>
    <t>millerlinda@example.net</t>
  </si>
  <si>
    <t>0617583599</t>
  </si>
  <si>
    <t>East London</t>
  </si>
  <si>
    <t>05-Jan-2026</t>
  </si>
  <si>
    <t>Justin?Morgan</t>
  </si>
  <si>
    <t>benjaminhowell@example.org</t>
  </si>
  <si>
    <t>0631970742</t>
  </si>
  <si>
    <t>Daniel Anderson</t>
  </si>
  <si>
    <t>aaronbranch@example.com</t>
  </si>
  <si>
    <t>0825833664</t>
  </si>
  <si>
    <t>Polokwane</t>
  </si>
  <si>
    <t>2022-09-05</t>
  </si>
  <si>
    <t xml:space="preserve"> Jeffrey Mosley  </t>
  </si>
  <si>
    <t>wanderson@example.org</t>
  </si>
  <si>
    <t>082067574</t>
  </si>
  <si>
    <t>05/11/2008</t>
  </si>
  <si>
    <t xml:space="preserve"> Julie Schwartz  </t>
  </si>
  <si>
    <t>patricia75@example.com</t>
  </si>
  <si>
    <t>083695607</t>
  </si>
  <si>
    <t>Johannesburg</t>
  </si>
  <si>
    <t>11/04/2021</t>
  </si>
  <si>
    <t>Hannah Powell</t>
  </si>
  <si>
    <t>dmitchell@example.com</t>
  </si>
  <si>
    <t>0615373692</t>
  </si>
  <si>
    <t>03/11/2012</t>
  </si>
  <si>
    <t>Cristian Wright</t>
  </si>
  <si>
    <t>kelseymiller@example.com</t>
  </si>
  <si>
    <t>083236119</t>
  </si>
  <si>
    <t>Nelspruit</t>
  </si>
  <si>
    <t>08-28-2023</t>
  </si>
  <si>
    <t>Elizabeth Singh</t>
  </si>
  <si>
    <t>victoriapruitt@example.org</t>
  </si>
  <si>
    <t>082285153</t>
  </si>
  <si>
    <t>Pretoria</t>
  </si>
  <si>
    <t xml:space="preserve"> Jake Nelson  </t>
  </si>
  <si>
    <t>shannon55@example.net</t>
  </si>
  <si>
    <t>0836373970</t>
  </si>
  <si>
    <t>24/09/2024</t>
  </si>
  <si>
    <t xml:space="preserve"> Rodney Manning  </t>
  </si>
  <si>
    <t>jessica24@example.net</t>
  </si>
  <si>
    <t>063594054</t>
  </si>
  <si>
    <t>2020-02-29</t>
  </si>
  <si>
    <t>Phillip Delgado</t>
  </si>
  <si>
    <t>hamiltonnicole@example.com</t>
  </si>
  <si>
    <t>063955335</t>
  </si>
  <si>
    <t>Port Elizabeth</t>
  </si>
  <si>
    <t>1995-10-25</t>
  </si>
  <si>
    <t>Margaret%Jacobson</t>
  </si>
  <si>
    <t>hallwilliam@example.net</t>
  </si>
  <si>
    <t>0710804702</t>
  </si>
  <si>
    <t>Kimberley</t>
  </si>
  <si>
    <t>2016-03-01</t>
  </si>
  <si>
    <t>Susan Harrington</t>
  </si>
  <si>
    <t>omarquez@example.com</t>
  </si>
  <si>
    <t>0821758013</t>
  </si>
  <si>
    <t>01-31-2020</t>
  </si>
  <si>
    <t>Samantha Sullivan</t>
  </si>
  <si>
    <t>carl22@example.com</t>
  </si>
  <si>
    <t>0719935632</t>
  </si>
  <si>
    <t>23/07/2008</t>
  </si>
  <si>
    <t xml:space="preserve"> John Kemp  </t>
  </si>
  <si>
    <t>johnsonjeffrey@example.org</t>
  </si>
  <si>
    <t>082339157</t>
  </si>
  <si>
    <t>05-24-2025</t>
  </si>
  <si>
    <t>James James</t>
  </si>
  <si>
    <t>sarahrobinson@example.com</t>
  </si>
  <si>
    <t>083808763</t>
  </si>
  <si>
    <t>01-11-2026</t>
  </si>
  <si>
    <t>Justin Hill</t>
  </si>
  <si>
    <t>kathryn33@example.net</t>
  </si>
  <si>
    <t>0634676105</t>
  </si>
  <si>
    <t>12-14-2020</t>
  </si>
  <si>
    <t>product_id</t>
  </si>
  <si>
    <t>product_name</t>
  </si>
  <si>
    <t>product_price</t>
  </si>
  <si>
    <t>stock_quantity</t>
  </si>
  <si>
    <t>Eco Keyboard</t>
  </si>
  <si>
    <t>Premium Keyboard</t>
  </si>
  <si>
    <t>4408</t>
  </si>
  <si>
    <t>Advanced Keyboard</t>
  </si>
  <si>
    <t>Smart Monitor</t>
  </si>
  <si>
    <t>1914</t>
  </si>
  <si>
    <t>Premium Headphones</t>
  </si>
  <si>
    <t>R4176</t>
  </si>
  <si>
    <t>Smart Headphones</t>
  </si>
  <si>
    <t>2018</t>
  </si>
  <si>
    <t>Portable Monitor</t>
  </si>
  <si>
    <t>Smart Chair</t>
  </si>
  <si>
    <t>Advanced Laptop</t>
  </si>
  <si>
    <t>R4141</t>
  </si>
  <si>
    <t>R1376</t>
  </si>
  <si>
    <t>order_id</t>
  </si>
  <si>
    <t>customer_id</t>
  </si>
  <si>
    <t>order_date</t>
  </si>
  <si>
    <t>status</t>
  </si>
  <si>
    <t>1982-03-13</t>
  </si>
  <si>
    <t>cancelled</t>
  </si>
  <si>
    <t>02-24-2025</t>
  </si>
  <si>
    <t>p</t>
  </si>
  <si>
    <t>13-Feb-2026</t>
  </si>
  <si>
    <t>x</t>
  </si>
  <si>
    <t>20/10/2012</t>
  </si>
  <si>
    <t>18/06/2023</t>
  </si>
  <si>
    <t>pending</t>
  </si>
  <si>
    <t>1995-04-23</t>
  </si>
  <si>
    <t>22-Jan-2026</t>
  </si>
  <si>
    <t>completed</t>
  </si>
  <si>
    <t>1979-07-07</t>
  </si>
  <si>
    <t>c</t>
  </si>
  <si>
    <t>16/03/2020</t>
  </si>
  <si>
    <t>1978-04-09</t>
  </si>
  <si>
    <t>complete</t>
  </si>
  <si>
    <t>11-15-2020</t>
  </si>
  <si>
    <t>2020-06-24</t>
  </si>
  <si>
    <t>done</t>
  </si>
  <si>
    <t>2004-05-21</t>
  </si>
  <si>
    <t>29/05/2016</t>
  </si>
  <si>
    <t>09-27-2020</t>
  </si>
  <si>
    <t>20/11/2011</t>
  </si>
  <si>
    <t>1985-08-11</t>
  </si>
  <si>
    <t>order_item_id</t>
  </si>
  <si>
    <t>quantity</t>
  </si>
  <si>
    <t>unit_price</t>
  </si>
  <si>
    <t>total_price</t>
  </si>
  <si>
    <t>100</t>
  </si>
  <si>
    <t>90</t>
  </si>
  <si>
    <t>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</si>
</sst>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0" sqref="G10"/>
    </sheetView>
  </sheetViews>
  <sheetFormatPr defaultRowHeight="15" x14ac:dyDescent="0.25"/>
  <cols>
    <col min="2" max="2" width="19.28515625" bestFit="1" customWidth="1"/>
    <col min="6" max="6" width="10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9</v>
      </c>
      <c r="F3" t="s">
        <v>14</v>
      </c>
    </row>
    <row r="4" spans="1:6" x14ac:dyDescent="0.2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5">
      <c r="A6">
        <v>5</v>
      </c>
      <c r="B6" t="s">
        <v>25</v>
      </c>
      <c r="C6" t="s">
        <v>26</v>
      </c>
      <c r="D6" t="s">
        <v>27</v>
      </c>
      <c r="E6" t="s">
        <v>9</v>
      </c>
      <c r="F6" s="3">
        <v>32656</v>
      </c>
    </row>
    <row r="7" spans="1:6" x14ac:dyDescent="0.25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25">
      <c r="A8">
        <v>7</v>
      </c>
      <c r="B8" t="s">
        <v>33</v>
      </c>
      <c r="C8" t="s">
        <v>34</v>
      </c>
      <c r="D8" t="s">
        <v>35</v>
      </c>
      <c r="E8" t="s">
        <v>18</v>
      </c>
      <c r="F8" t="s">
        <v>36</v>
      </c>
    </row>
    <row r="9" spans="1:6" x14ac:dyDescent="0.25">
      <c r="A9">
        <v>8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25">
      <c r="A10">
        <v>9</v>
      </c>
      <c r="B10" t="s">
        <v>42</v>
      </c>
      <c r="C10" t="s">
        <v>43</v>
      </c>
      <c r="D10" t="s">
        <v>44</v>
      </c>
      <c r="E10" t="s">
        <v>23</v>
      </c>
      <c r="F10" t="s">
        <v>45</v>
      </c>
    </row>
    <row r="11" spans="1:6" x14ac:dyDescent="0.25">
      <c r="A11">
        <v>10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</row>
    <row r="12" spans="1:6" x14ac:dyDescent="0.25">
      <c r="A12">
        <v>11</v>
      </c>
      <c r="B12" t="s">
        <v>51</v>
      </c>
      <c r="C12" t="s">
        <v>52</v>
      </c>
      <c r="D12" t="s">
        <v>53</v>
      </c>
      <c r="E12" t="s">
        <v>54</v>
      </c>
      <c r="F12" t="s">
        <v>32</v>
      </c>
    </row>
    <row r="13" spans="1:6" x14ac:dyDescent="0.25">
      <c r="A13">
        <v>12</v>
      </c>
      <c r="B13" t="s">
        <v>55</v>
      </c>
      <c r="C13" t="s">
        <v>56</v>
      </c>
      <c r="D13" t="s">
        <v>57</v>
      </c>
      <c r="E13" t="s">
        <v>49</v>
      </c>
      <c r="F13" t="s">
        <v>58</v>
      </c>
    </row>
    <row r="14" spans="1:6" x14ac:dyDescent="0.25">
      <c r="A14">
        <v>13</v>
      </c>
      <c r="B14" t="s">
        <v>59</v>
      </c>
      <c r="C14" t="s">
        <v>60</v>
      </c>
      <c r="D14" t="s">
        <v>61</v>
      </c>
      <c r="E14" t="s">
        <v>49</v>
      </c>
      <c r="F14" t="s">
        <v>62</v>
      </c>
    </row>
    <row r="15" spans="1:6" x14ac:dyDescent="0.25">
      <c r="A15">
        <v>14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</row>
    <row r="16" spans="1:6" x14ac:dyDescent="0.25">
      <c r="A16">
        <v>15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</row>
    <row r="17" spans="1:6" x14ac:dyDescent="0.25">
      <c r="A17">
        <v>16</v>
      </c>
      <c r="B17" t="s">
        <v>73</v>
      </c>
      <c r="C17" t="s">
        <v>74</v>
      </c>
      <c r="D17" t="s">
        <v>75</v>
      </c>
      <c r="E17" t="s">
        <v>31</v>
      </c>
      <c r="F17" t="s">
        <v>76</v>
      </c>
    </row>
    <row r="18" spans="1:6" x14ac:dyDescent="0.25">
      <c r="A18">
        <v>17</v>
      </c>
      <c r="B18" t="s">
        <v>77</v>
      </c>
      <c r="C18" t="s">
        <v>78</v>
      </c>
      <c r="D18" t="s">
        <v>79</v>
      </c>
      <c r="E18" t="s">
        <v>54</v>
      </c>
      <c r="F18" t="s">
        <v>80</v>
      </c>
    </row>
    <row r="19" spans="1:6" x14ac:dyDescent="0.25">
      <c r="A19">
        <v>18</v>
      </c>
      <c r="B19" t="s">
        <v>81</v>
      </c>
      <c r="C19" t="s">
        <v>82</v>
      </c>
      <c r="D19" t="s">
        <v>83</v>
      </c>
      <c r="E19" t="s">
        <v>71</v>
      </c>
      <c r="F19" t="s">
        <v>84</v>
      </c>
    </row>
    <row r="20" spans="1:6" x14ac:dyDescent="0.25">
      <c r="A20">
        <v>19</v>
      </c>
      <c r="B20" t="s">
        <v>85</v>
      </c>
      <c r="C20" t="s">
        <v>86</v>
      </c>
      <c r="D20" t="s">
        <v>87</v>
      </c>
      <c r="E20" t="s">
        <v>49</v>
      </c>
      <c r="F20" t="s">
        <v>88</v>
      </c>
    </row>
    <row r="21" spans="1:6" x14ac:dyDescent="0.25">
      <c r="A21">
        <v>20</v>
      </c>
      <c r="B21" t="s">
        <v>89</v>
      </c>
      <c r="C21" t="s">
        <v>90</v>
      </c>
      <c r="D21" t="s">
        <v>91</v>
      </c>
      <c r="E21" t="s">
        <v>66</v>
      </c>
      <c r="F21" t="s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C13" sqref="C13"/>
    </sheetView>
  </sheetViews>
  <sheetFormatPr defaultRowHeight="15" x14ac:dyDescent="0.25"/>
  <cols>
    <col min="2" max="2" width="21" bestFit="1" customWidth="1"/>
  </cols>
  <sheetData>
    <row r="1" spans="1:4" x14ac:dyDescent="0.25">
      <c r="A1" s="1" t="s">
        <v>93</v>
      </c>
      <c r="B1" s="1" t="s">
        <v>94</v>
      </c>
      <c r="C1" s="1" t="s">
        <v>95</v>
      </c>
      <c r="D1" s="1" t="s">
        <v>96</v>
      </c>
    </row>
    <row r="2" spans="1:4" x14ac:dyDescent="0.25">
      <c r="A2">
        <v>1001</v>
      </c>
      <c r="B2" t="s">
        <v>97</v>
      </c>
      <c r="C2" s="2" t="s">
        <v>145</v>
      </c>
      <c r="D2">
        <v>13</v>
      </c>
    </row>
    <row r="3" spans="1:4" x14ac:dyDescent="0.25">
      <c r="A3">
        <v>1002</v>
      </c>
      <c r="B3" t="s">
        <v>98</v>
      </c>
      <c r="C3" t="s">
        <v>99</v>
      </c>
      <c r="D3">
        <v>23</v>
      </c>
    </row>
    <row r="4" spans="1:4" x14ac:dyDescent="0.25">
      <c r="A4">
        <v>1003</v>
      </c>
      <c r="B4" t="s">
        <v>100</v>
      </c>
      <c r="C4" s="2" t="s">
        <v>146</v>
      </c>
      <c r="D4">
        <v>60</v>
      </c>
    </row>
    <row r="5" spans="1:4" x14ac:dyDescent="0.25">
      <c r="A5">
        <v>1004</v>
      </c>
      <c r="B5" t="s">
        <v>101</v>
      </c>
      <c r="C5" t="s">
        <v>102</v>
      </c>
      <c r="D5">
        <v>60</v>
      </c>
    </row>
    <row r="6" spans="1:4" x14ac:dyDescent="0.25">
      <c r="A6">
        <v>1005</v>
      </c>
      <c r="B6" t="s">
        <v>103</v>
      </c>
      <c r="C6" t="s">
        <v>104</v>
      </c>
      <c r="D6">
        <v>9</v>
      </c>
    </row>
    <row r="7" spans="1:4" x14ac:dyDescent="0.25">
      <c r="A7">
        <v>1006</v>
      </c>
      <c r="B7" t="s">
        <v>105</v>
      </c>
      <c r="C7" t="s">
        <v>106</v>
      </c>
      <c r="D7">
        <v>71</v>
      </c>
    </row>
    <row r="8" spans="1:4" x14ac:dyDescent="0.25">
      <c r="A8">
        <v>1007</v>
      </c>
      <c r="B8" t="s">
        <v>107</v>
      </c>
      <c r="C8" s="2" t="s">
        <v>147</v>
      </c>
      <c r="D8">
        <v>79</v>
      </c>
    </row>
    <row r="9" spans="1:4" x14ac:dyDescent="0.25">
      <c r="A9">
        <v>1008</v>
      </c>
      <c r="B9" t="s">
        <v>108</v>
      </c>
      <c r="C9">
        <v>3000</v>
      </c>
      <c r="D9">
        <v>89</v>
      </c>
    </row>
    <row r="10" spans="1:4" x14ac:dyDescent="0.25">
      <c r="A10">
        <v>1009</v>
      </c>
      <c r="B10" t="s">
        <v>109</v>
      </c>
      <c r="C10" t="s">
        <v>110</v>
      </c>
      <c r="D10">
        <v>44</v>
      </c>
    </row>
    <row r="11" spans="1:4" x14ac:dyDescent="0.25">
      <c r="A11">
        <v>1010</v>
      </c>
      <c r="B11" t="s">
        <v>101</v>
      </c>
      <c r="C11" t="s">
        <v>111</v>
      </c>
      <c r="D11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A2" sqref="A2"/>
    </sheetView>
  </sheetViews>
  <sheetFormatPr defaultRowHeight="15" x14ac:dyDescent="0.25"/>
  <cols>
    <col min="3" max="3" width="10.7109375" bestFit="1" customWidth="1"/>
  </cols>
  <sheetData>
    <row r="1" spans="1:4" x14ac:dyDescent="0.25">
      <c r="A1" s="1" t="s">
        <v>112</v>
      </c>
      <c r="B1" s="1" t="s">
        <v>113</v>
      </c>
      <c r="C1" s="1" t="s">
        <v>114</v>
      </c>
      <c r="D1" s="1" t="s">
        <v>115</v>
      </c>
    </row>
    <row r="2" spans="1:4" x14ac:dyDescent="0.25">
      <c r="A2">
        <v>101</v>
      </c>
      <c r="B2">
        <v>1</v>
      </c>
      <c r="C2" t="s">
        <v>116</v>
      </c>
      <c r="D2" t="s">
        <v>117</v>
      </c>
    </row>
    <row r="3" spans="1:4" x14ac:dyDescent="0.25">
      <c r="A3">
        <v>102</v>
      </c>
      <c r="B3">
        <v>2</v>
      </c>
      <c r="C3" t="s">
        <v>118</v>
      </c>
      <c r="D3" t="s">
        <v>119</v>
      </c>
    </row>
    <row r="4" spans="1:4" x14ac:dyDescent="0.25">
      <c r="A4">
        <v>103</v>
      </c>
      <c r="B4">
        <v>3</v>
      </c>
      <c r="C4" t="s">
        <v>120</v>
      </c>
      <c r="D4" t="s">
        <v>121</v>
      </c>
    </row>
    <row r="5" spans="1:4" x14ac:dyDescent="0.25">
      <c r="A5">
        <v>104</v>
      </c>
      <c r="B5">
        <v>4</v>
      </c>
      <c r="C5" t="s">
        <v>122</v>
      </c>
      <c r="D5" t="s">
        <v>119</v>
      </c>
    </row>
    <row r="6" spans="1:4" x14ac:dyDescent="0.25">
      <c r="A6">
        <v>105</v>
      </c>
      <c r="B6">
        <v>5</v>
      </c>
      <c r="C6" t="s">
        <v>123</v>
      </c>
      <c r="D6" t="s">
        <v>124</v>
      </c>
    </row>
    <row r="7" spans="1:4" x14ac:dyDescent="0.25">
      <c r="A7">
        <v>106</v>
      </c>
      <c r="B7">
        <v>6</v>
      </c>
      <c r="C7" t="s">
        <v>125</v>
      </c>
      <c r="D7" t="s">
        <v>121</v>
      </c>
    </row>
    <row r="8" spans="1:4" x14ac:dyDescent="0.25">
      <c r="A8">
        <v>107</v>
      </c>
      <c r="B8">
        <v>7</v>
      </c>
      <c r="C8" t="s">
        <v>126</v>
      </c>
      <c r="D8" t="s">
        <v>127</v>
      </c>
    </row>
    <row r="9" spans="1:4" x14ac:dyDescent="0.25">
      <c r="A9">
        <v>108</v>
      </c>
      <c r="B9">
        <v>8</v>
      </c>
      <c r="C9" t="s">
        <v>128</v>
      </c>
      <c r="D9" t="s">
        <v>129</v>
      </c>
    </row>
    <row r="10" spans="1:4" x14ac:dyDescent="0.25">
      <c r="A10">
        <v>109</v>
      </c>
      <c r="B10">
        <v>9</v>
      </c>
      <c r="C10" s="3">
        <v>44985</v>
      </c>
      <c r="D10" t="s">
        <v>117</v>
      </c>
    </row>
    <row r="11" spans="1:4" x14ac:dyDescent="0.25">
      <c r="A11">
        <v>110</v>
      </c>
      <c r="B11">
        <v>10</v>
      </c>
      <c r="C11" s="3">
        <v>44622</v>
      </c>
      <c r="D11" t="s">
        <v>127</v>
      </c>
    </row>
    <row r="12" spans="1:4" x14ac:dyDescent="0.25">
      <c r="A12">
        <v>111</v>
      </c>
      <c r="B12">
        <v>11</v>
      </c>
      <c r="C12" t="s">
        <v>130</v>
      </c>
      <c r="D12" t="s">
        <v>121</v>
      </c>
    </row>
    <row r="13" spans="1:4" x14ac:dyDescent="0.25">
      <c r="A13">
        <v>112</v>
      </c>
      <c r="B13">
        <v>12</v>
      </c>
      <c r="C13" t="s">
        <v>131</v>
      </c>
      <c r="D13" t="s">
        <v>132</v>
      </c>
    </row>
    <row r="14" spans="1:4" x14ac:dyDescent="0.25">
      <c r="A14">
        <v>113</v>
      </c>
      <c r="B14">
        <v>13</v>
      </c>
      <c r="C14" t="s">
        <v>133</v>
      </c>
      <c r="D14" t="s">
        <v>124</v>
      </c>
    </row>
    <row r="15" spans="1:4" x14ac:dyDescent="0.25">
      <c r="A15">
        <v>114</v>
      </c>
      <c r="B15">
        <v>14</v>
      </c>
      <c r="C15" t="s">
        <v>134</v>
      </c>
      <c r="D15" t="s">
        <v>135</v>
      </c>
    </row>
    <row r="16" spans="1:4" x14ac:dyDescent="0.25">
      <c r="A16">
        <v>115</v>
      </c>
      <c r="B16">
        <v>15</v>
      </c>
      <c r="C16" s="3">
        <v>36320</v>
      </c>
      <c r="D16" t="s">
        <v>127</v>
      </c>
    </row>
    <row r="17" spans="1:4" x14ac:dyDescent="0.25">
      <c r="A17">
        <v>116</v>
      </c>
      <c r="B17">
        <v>16</v>
      </c>
      <c r="C17" t="s">
        <v>136</v>
      </c>
      <c r="D17" t="s">
        <v>119</v>
      </c>
    </row>
    <row r="18" spans="1:4" x14ac:dyDescent="0.25">
      <c r="A18">
        <v>117</v>
      </c>
      <c r="B18">
        <v>17</v>
      </c>
      <c r="C18" t="s">
        <v>137</v>
      </c>
      <c r="D18" t="s">
        <v>119</v>
      </c>
    </row>
    <row r="19" spans="1:4" x14ac:dyDescent="0.25">
      <c r="A19">
        <v>118</v>
      </c>
      <c r="B19">
        <v>18</v>
      </c>
      <c r="C19" t="s">
        <v>138</v>
      </c>
      <c r="D19" t="s">
        <v>119</v>
      </c>
    </row>
    <row r="20" spans="1:4" x14ac:dyDescent="0.25">
      <c r="A20">
        <v>119</v>
      </c>
      <c r="B20">
        <v>19</v>
      </c>
      <c r="C20" t="s">
        <v>139</v>
      </c>
      <c r="D20" t="s">
        <v>132</v>
      </c>
    </row>
    <row r="21" spans="1:4" x14ac:dyDescent="0.25">
      <c r="A21">
        <v>120</v>
      </c>
      <c r="B21">
        <v>20</v>
      </c>
      <c r="C21" t="s">
        <v>140</v>
      </c>
      <c r="D21" t="s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workbookViewId="0">
      <selection activeCell="E30" sqref="E30"/>
    </sheetView>
  </sheetViews>
  <sheetFormatPr defaultRowHeight="15" x14ac:dyDescent="0.25"/>
  <cols>
    <col min="1" max="1" width="13.85546875" bestFit="1" customWidth="1"/>
  </cols>
  <sheetData>
    <row r="1" spans="1:6" x14ac:dyDescent="0.25">
      <c r="A1" s="1" t="s">
        <v>141</v>
      </c>
      <c r="B1" s="1" t="s">
        <v>112</v>
      </c>
      <c r="C1" s="1" t="s">
        <v>93</v>
      </c>
      <c r="D1" s="1" t="s">
        <v>142</v>
      </c>
      <c r="E1" s="1" t="s">
        <v>143</v>
      </c>
      <c r="F1" s="1" t="s">
        <v>144</v>
      </c>
    </row>
    <row r="2" spans="1:6" x14ac:dyDescent="0.25">
      <c r="A2">
        <v>2000</v>
      </c>
      <c r="B2">
        <v>105</v>
      </c>
      <c r="C2">
        <v>1003</v>
      </c>
      <c r="D2">
        <v>2</v>
      </c>
      <c r="E2" s="2" t="str">
        <f>VLOOKUP(C2,Products!$A$2:$C$11,3,FALSE)</f>
        <v>90</v>
      </c>
      <c r="F2">
        <v>0</v>
      </c>
    </row>
    <row r="3" spans="1:6" x14ac:dyDescent="0.25">
      <c r="A3">
        <v>2001</v>
      </c>
      <c r="B3">
        <v>105</v>
      </c>
      <c r="C3">
        <v>1004</v>
      </c>
      <c r="D3">
        <v>4</v>
      </c>
      <c r="E3" s="2" t="str">
        <f>VLOOKUP(C3,Products!$A$2:$C$11,3,FALSE)</f>
        <v>1914</v>
      </c>
      <c r="F3">
        <v>0</v>
      </c>
    </row>
    <row r="4" spans="1:6" x14ac:dyDescent="0.25">
      <c r="A4">
        <v>2002</v>
      </c>
      <c r="B4">
        <v>105</v>
      </c>
      <c r="C4">
        <v>1001</v>
      </c>
      <c r="D4">
        <v>1</v>
      </c>
      <c r="E4" s="2" t="str">
        <f>VLOOKUP(C4,Products!$A$2:$C$11,3,FALSE)</f>
        <v>100</v>
      </c>
      <c r="F4">
        <v>729.88</v>
      </c>
    </row>
    <row r="5" spans="1:6" x14ac:dyDescent="0.25">
      <c r="A5">
        <v>2003</v>
      </c>
      <c r="B5">
        <v>116</v>
      </c>
      <c r="C5">
        <v>1004</v>
      </c>
      <c r="D5">
        <v>4</v>
      </c>
      <c r="E5" s="2" t="str">
        <f>VLOOKUP(C5,Products!$A$2:$C$11,3,FALSE)</f>
        <v>1914</v>
      </c>
      <c r="F5">
        <v>11668</v>
      </c>
    </row>
    <row r="6" spans="1:6" x14ac:dyDescent="0.25">
      <c r="A6">
        <v>2004</v>
      </c>
      <c r="B6">
        <v>101</v>
      </c>
      <c r="C6">
        <v>1008</v>
      </c>
      <c r="D6">
        <v>3</v>
      </c>
      <c r="E6" s="2">
        <f>VLOOKUP(C6,Products!$A$2:$C$11,3,FALSE)</f>
        <v>3000</v>
      </c>
      <c r="F6">
        <v>219.81</v>
      </c>
    </row>
    <row r="7" spans="1:6" x14ac:dyDescent="0.25">
      <c r="A7">
        <v>2005</v>
      </c>
      <c r="B7">
        <v>119</v>
      </c>
      <c r="C7">
        <v>1006</v>
      </c>
      <c r="D7">
        <v>1</v>
      </c>
      <c r="E7" s="2" t="str">
        <f>VLOOKUP(C7,Products!$A$2:$C$11,3,FALSE)</f>
        <v>2018</v>
      </c>
      <c r="F7">
        <v>2705.02</v>
      </c>
    </row>
    <row r="8" spans="1:6" x14ac:dyDescent="0.25">
      <c r="A8">
        <v>2006</v>
      </c>
      <c r="B8">
        <v>119</v>
      </c>
      <c r="C8">
        <v>1007</v>
      </c>
      <c r="D8">
        <v>4</v>
      </c>
      <c r="E8" s="2" t="str">
        <f>VLOOKUP(C8,Products!$A$2:$C$11,3,FALSE)</f>
        <v>4000</v>
      </c>
      <c r="F8">
        <v>0</v>
      </c>
    </row>
    <row r="9" spans="1:6" x14ac:dyDescent="0.25">
      <c r="A9">
        <v>2007</v>
      </c>
      <c r="B9">
        <v>113</v>
      </c>
      <c r="C9">
        <v>1005</v>
      </c>
      <c r="D9">
        <v>2</v>
      </c>
      <c r="E9" s="2" t="str">
        <f>VLOOKUP(C9,Products!$A$2:$C$11,3,FALSE)</f>
        <v>R4176</v>
      </c>
      <c r="F9">
        <v>4098.12</v>
      </c>
    </row>
    <row r="10" spans="1:6" x14ac:dyDescent="0.25">
      <c r="A10">
        <v>2008</v>
      </c>
      <c r="B10">
        <v>115</v>
      </c>
      <c r="C10">
        <v>1006</v>
      </c>
      <c r="D10">
        <v>3</v>
      </c>
      <c r="E10" s="2" t="str">
        <f>VLOOKUP(C10,Products!$A$2:$C$11,3,FALSE)</f>
        <v>2018</v>
      </c>
      <c r="F10">
        <v>0</v>
      </c>
    </row>
    <row r="11" spans="1:6" x14ac:dyDescent="0.25">
      <c r="A11">
        <v>2009</v>
      </c>
      <c r="B11">
        <v>120</v>
      </c>
      <c r="C11">
        <v>1001</v>
      </c>
      <c r="D11">
        <v>3</v>
      </c>
      <c r="E11" s="2" t="str">
        <f>VLOOKUP(C11,Products!$A$2:$C$11,3,FALSE)</f>
        <v>100</v>
      </c>
      <c r="F11">
        <v>0</v>
      </c>
    </row>
    <row r="12" spans="1:6" x14ac:dyDescent="0.25">
      <c r="A12">
        <v>2010</v>
      </c>
      <c r="B12">
        <v>106</v>
      </c>
      <c r="C12">
        <v>1006</v>
      </c>
      <c r="D12">
        <v>3</v>
      </c>
      <c r="E12" s="2" t="str">
        <f>VLOOKUP(C12,Products!$A$2:$C$11,3,FALSE)</f>
        <v>2018</v>
      </c>
      <c r="F12">
        <v>0</v>
      </c>
    </row>
    <row r="13" spans="1:6" x14ac:dyDescent="0.25">
      <c r="A13">
        <v>2011</v>
      </c>
      <c r="B13">
        <v>117</v>
      </c>
      <c r="C13">
        <v>1005</v>
      </c>
      <c r="D13">
        <v>1</v>
      </c>
      <c r="E13" s="2" t="str">
        <f>VLOOKUP(C13,Products!$A$2:$C$11,3,FALSE)</f>
        <v>R4176</v>
      </c>
      <c r="F13">
        <v>145.43</v>
      </c>
    </row>
    <row r="14" spans="1:6" x14ac:dyDescent="0.25">
      <c r="A14">
        <v>2012</v>
      </c>
      <c r="B14">
        <v>110</v>
      </c>
      <c r="C14">
        <v>1010</v>
      </c>
      <c r="D14">
        <v>1</v>
      </c>
      <c r="E14" s="2" t="str">
        <f>VLOOKUP(C14,Products!$A$2:$C$11,3,FALSE)</f>
        <v>R1376</v>
      </c>
      <c r="F14">
        <v>1016</v>
      </c>
    </row>
    <row r="15" spans="1:6" x14ac:dyDescent="0.25">
      <c r="A15">
        <v>2013</v>
      </c>
      <c r="B15">
        <v>110</v>
      </c>
      <c r="C15">
        <v>1003</v>
      </c>
      <c r="D15">
        <v>4</v>
      </c>
      <c r="E15" s="2" t="str">
        <f>VLOOKUP(C15,Products!$A$2:$C$11,3,FALSE)</f>
        <v>90</v>
      </c>
      <c r="F15">
        <v>15579</v>
      </c>
    </row>
    <row r="16" spans="1:6" x14ac:dyDescent="0.25">
      <c r="A16">
        <v>2014</v>
      </c>
      <c r="B16">
        <v>115</v>
      </c>
      <c r="C16">
        <v>1001</v>
      </c>
      <c r="D16">
        <v>2</v>
      </c>
      <c r="E16" s="2" t="str">
        <f>VLOOKUP(C16,Products!$A$2:$C$11,3,FALSE)</f>
        <v>100</v>
      </c>
      <c r="F16">
        <v>96</v>
      </c>
    </row>
    <row r="17" spans="1:6" x14ac:dyDescent="0.25">
      <c r="A17">
        <v>2015</v>
      </c>
      <c r="B17">
        <v>110</v>
      </c>
      <c r="C17">
        <v>1007</v>
      </c>
      <c r="D17">
        <v>5</v>
      </c>
      <c r="E17" s="2" t="str">
        <f>VLOOKUP(C17,Products!$A$2:$C$11,3,FALSE)</f>
        <v>4000</v>
      </c>
      <c r="F17">
        <v>0</v>
      </c>
    </row>
    <row r="18" spans="1:6" x14ac:dyDescent="0.25">
      <c r="A18">
        <v>2016</v>
      </c>
      <c r="B18">
        <v>118</v>
      </c>
      <c r="C18">
        <v>1001</v>
      </c>
      <c r="D18">
        <v>4</v>
      </c>
      <c r="E18" s="2" t="str">
        <f>VLOOKUP(C18,Products!$A$2:$C$11,3,FALSE)</f>
        <v>100</v>
      </c>
      <c r="F18">
        <v>0</v>
      </c>
    </row>
    <row r="19" spans="1:6" x14ac:dyDescent="0.25">
      <c r="A19">
        <v>2017</v>
      </c>
      <c r="B19">
        <v>116</v>
      </c>
      <c r="C19">
        <v>1003</v>
      </c>
      <c r="D19">
        <v>2</v>
      </c>
      <c r="E19" s="2" t="str">
        <f>VLOOKUP(C19,Products!$A$2:$C$11,3,FALSE)</f>
        <v>90</v>
      </c>
      <c r="F19">
        <v>0</v>
      </c>
    </row>
    <row r="20" spans="1:6" x14ac:dyDescent="0.25">
      <c r="A20">
        <v>2018</v>
      </c>
      <c r="B20">
        <v>115</v>
      </c>
      <c r="C20">
        <v>1001</v>
      </c>
      <c r="D20">
        <v>2</v>
      </c>
      <c r="E20" s="2" t="str">
        <f>VLOOKUP(C20,Products!$A$2:$C$11,3,FALSE)</f>
        <v>100</v>
      </c>
      <c r="F20">
        <v>0</v>
      </c>
    </row>
    <row r="21" spans="1:6" x14ac:dyDescent="0.25">
      <c r="A21">
        <v>2019</v>
      </c>
      <c r="B21">
        <v>107</v>
      </c>
      <c r="C21">
        <v>1003</v>
      </c>
      <c r="D21">
        <v>3</v>
      </c>
      <c r="E21" s="2" t="str">
        <f>VLOOKUP(C21,Products!$A$2:$C$11,3,FALSE)</f>
        <v>90</v>
      </c>
      <c r="F21">
        <v>4536.6000000000004</v>
      </c>
    </row>
    <row r="22" spans="1:6" x14ac:dyDescent="0.25">
      <c r="A22">
        <v>2020</v>
      </c>
      <c r="B22">
        <v>106</v>
      </c>
      <c r="C22">
        <v>1008</v>
      </c>
      <c r="D22">
        <v>5</v>
      </c>
      <c r="E22" s="2">
        <f>VLOOKUP(C22,Products!$A$2:$C$11,3,FALSE)</f>
        <v>3000</v>
      </c>
      <c r="F22">
        <v>2728.75</v>
      </c>
    </row>
    <row r="23" spans="1:6" x14ac:dyDescent="0.25">
      <c r="A23">
        <v>2021</v>
      </c>
      <c r="B23">
        <v>119</v>
      </c>
      <c r="C23">
        <v>1002</v>
      </c>
      <c r="D23">
        <v>5</v>
      </c>
      <c r="E23" s="2" t="str">
        <f>VLOOKUP(C23,Products!$A$2:$C$11,3,FALSE)</f>
        <v>4408</v>
      </c>
      <c r="F23">
        <v>9588.0999999999985</v>
      </c>
    </row>
    <row r="24" spans="1:6" x14ac:dyDescent="0.25">
      <c r="A24">
        <v>2022</v>
      </c>
      <c r="B24">
        <v>118</v>
      </c>
      <c r="C24">
        <v>1007</v>
      </c>
      <c r="D24">
        <v>5</v>
      </c>
      <c r="E24" s="2" t="str">
        <f>VLOOKUP(C24,Products!$A$2:$C$11,3,FALSE)</f>
        <v>4000</v>
      </c>
      <c r="F24">
        <v>2830</v>
      </c>
    </row>
    <row r="25" spans="1:6" x14ac:dyDescent="0.25">
      <c r="A25">
        <v>2023</v>
      </c>
      <c r="B25">
        <v>119</v>
      </c>
      <c r="C25">
        <v>1005</v>
      </c>
      <c r="D25">
        <v>5</v>
      </c>
      <c r="E25" s="2" t="str">
        <f>VLOOKUP(C25,Products!$A$2:$C$11,3,FALSE)</f>
        <v>R4176</v>
      </c>
      <c r="F25">
        <v>0</v>
      </c>
    </row>
    <row r="26" spans="1:6" x14ac:dyDescent="0.25">
      <c r="A26">
        <v>2024</v>
      </c>
      <c r="B26">
        <v>102</v>
      </c>
      <c r="C26">
        <v>1002</v>
      </c>
      <c r="D26">
        <v>2</v>
      </c>
      <c r="E26" s="2" t="str">
        <f>VLOOKUP(C26,Products!$A$2:$C$11,3,FALSE)</f>
        <v>4408</v>
      </c>
      <c r="F26">
        <v>0</v>
      </c>
    </row>
    <row r="27" spans="1:6" x14ac:dyDescent="0.25">
      <c r="A27">
        <v>2025</v>
      </c>
      <c r="B27">
        <v>106</v>
      </c>
      <c r="C27">
        <v>1005</v>
      </c>
      <c r="D27">
        <v>3</v>
      </c>
      <c r="E27" s="2" t="str">
        <f>VLOOKUP(C27,Products!$A$2:$C$11,3,FALSE)</f>
        <v>R4176</v>
      </c>
      <c r="F27">
        <v>10380</v>
      </c>
    </row>
    <row r="28" spans="1:6" x14ac:dyDescent="0.25">
      <c r="A28">
        <v>2026</v>
      </c>
      <c r="B28">
        <v>112</v>
      </c>
      <c r="C28">
        <v>1006</v>
      </c>
      <c r="D28">
        <v>4</v>
      </c>
      <c r="E28" s="2" t="str">
        <f>VLOOKUP(C28,Products!$A$2:$C$11,3,FALSE)</f>
        <v>2018</v>
      </c>
      <c r="F28">
        <v>18001.8</v>
      </c>
    </row>
    <row r="29" spans="1:6" x14ac:dyDescent="0.25">
      <c r="A29">
        <v>2027</v>
      </c>
      <c r="B29">
        <v>109</v>
      </c>
      <c r="C29">
        <v>1001</v>
      </c>
      <c r="D29">
        <v>5</v>
      </c>
      <c r="E29" s="2" t="str">
        <f>VLOOKUP(C29,Products!$A$2:$C$11,3,FALSE)</f>
        <v>100</v>
      </c>
      <c r="F29">
        <v>640</v>
      </c>
    </row>
    <row r="30" spans="1:6" x14ac:dyDescent="0.25">
      <c r="A30">
        <v>2028</v>
      </c>
      <c r="B30">
        <v>108</v>
      </c>
      <c r="C30">
        <v>1005</v>
      </c>
      <c r="D30">
        <v>2</v>
      </c>
      <c r="E30" s="2" t="str">
        <f>VLOOKUP(C30,Products!$A$2:$C$11,3,FALSE)</f>
        <v>R4176</v>
      </c>
      <c r="F30">
        <v>0</v>
      </c>
    </row>
    <row r="31" spans="1:6" x14ac:dyDescent="0.25">
      <c r="A31">
        <v>2029</v>
      </c>
      <c r="B31">
        <v>101</v>
      </c>
      <c r="C31">
        <v>1007</v>
      </c>
      <c r="D31">
        <v>2</v>
      </c>
      <c r="E31" s="2" t="str">
        <f>VLOOKUP(C31,Products!$A$2:$C$11,3,FALSE)</f>
        <v>4000</v>
      </c>
      <c r="F31">
        <v>4026</v>
      </c>
    </row>
    <row r="32" spans="1:6" x14ac:dyDescent="0.25">
      <c r="A32">
        <v>2030</v>
      </c>
      <c r="B32">
        <v>102</v>
      </c>
      <c r="C32">
        <v>1006</v>
      </c>
      <c r="D32">
        <v>2</v>
      </c>
      <c r="E32" s="2" t="str">
        <f>VLOOKUP(C32,Products!$A$2:$C$11,3,FALSE)</f>
        <v>2018</v>
      </c>
      <c r="F32">
        <v>0</v>
      </c>
    </row>
    <row r="33" spans="1:6" x14ac:dyDescent="0.25">
      <c r="A33">
        <v>2031</v>
      </c>
      <c r="B33">
        <v>110</v>
      </c>
      <c r="C33">
        <v>1006</v>
      </c>
      <c r="D33">
        <v>5</v>
      </c>
      <c r="E33" s="2" t="str">
        <f>VLOOKUP(C33,Products!$A$2:$C$11,3,FALSE)</f>
        <v>2018</v>
      </c>
      <c r="F33">
        <v>0</v>
      </c>
    </row>
    <row r="34" spans="1:6" x14ac:dyDescent="0.25">
      <c r="A34">
        <v>2032</v>
      </c>
      <c r="B34">
        <v>101</v>
      </c>
      <c r="C34">
        <v>1002</v>
      </c>
      <c r="D34">
        <v>1</v>
      </c>
      <c r="E34" s="2" t="str">
        <f>VLOOKUP(C34,Products!$A$2:$C$11,3,FALSE)</f>
        <v>4408</v>
      </c>
      <c r="F34">
        <v>2246</v>
      </c>
    </row>
    <row r="35" spans="1:6" x14ac:dyDescent="0.25">
      <c r="A35">
        <v>2033</v>
      </c>
      <c r="B35">
        <v>113</v>
      </c>
      <c r="C35">
        <v>1001</v>
      </c>
      <c r="D35">
        <v>1</v>
      </c>
      <c r="E35" s="2" t="str">
        <f>VLOOKUP(C35,Products!$A$2:$C$11,3,FALSE)</f>
        <v>100</v>
      </c>
      <c r="F35">
        <v>1657</v>
      </c>
    </row>
    <row r="36" spans="1:6" x14ac:dyDescent="0.25">
      <c r="A36">
        <v>2034</v>
      </c>
      <c r="B36">
        <v>116</v>
      </c>
      <c r="C36">
        <v>1001</v>
      </c>
      <c r="D36">
        <v>4</v>
      </c>
      <c r="E36" s="2" t="str">
        <f>VLOOKUP(C36,Products!$A$2:$C$11,3,FALSE)</f>
        <v>100</v>
      </c>
      <c r="F36">
        <v>0</v>
      </c>
    </row>
    <row r="37" spans="1:6" x14ac:dyDescent="0.25">
      <c r="A37">
        <v>2035</v>
      </c>
      <c r="B37">
        <v>101</v>
      </c>
      <c r="C37">
        <v>1009</v>
      </c>
      <c r="D37">
        <v>3</v>
      </c>
      <c r="E37" s="2" t="str">
        <f>VLOOKUP(C37,Products!$A$2:$C$11,3,FALSE)</f>
        <v>R4141</v>
      </c>
      <c r="F37">
        <v>1809</v>
      </c>
    </row>
    <row r="38" spans="1:6" x14ac:dyDescent="0.25">
      <c r="A38">
        <v>2036</v>
      </c>
      <c r="B38">
        <v>113</v>
      </c>
      <c r="C38">
        <v>1006</v>
      </c>
      <c r="D38">
        <v>3</v>
      </c>
      <c r="E38" s="2" t="str">
        <f>VLOOKUP(C38,Products!$A$2:$C$11,3,FALSE)</f>
        <v>2018</v>
      </c>
      <c r="F38">
        <v>11490</v>
      </c>
    </row>
    <row r="39" spans="1:6" x14ac:dyDescent="0.25">
      <c r="A39">
        <v>2037</v>
      </c>
      <c r="B39">
        <v>119</v>
      </c>
      <c r="C39">
        <v>1006</v>
      </c>
      <c r="D39">
        <v>4</v>
      </c>
      <c r="E39" s="2" t="str">
        <f>VLOOKUP(C39,Products!$A$2:$C$11,3,FALSE)</f>
        <v>2018</v>
      </c>
      <c r="F39">
        <v>0</v>
      </c>
    </row>
    <row r="40" spans="1:6" x14ac:dyDescent="0.25">
      <c r="A40">
        <v>2038</v>
      </c>
      <c r="B40">
        <v>116</v>
      </c>
      <c r="C40">
        <v>1009</v>
      </c>
      <c r="D40">
        <v>3</v>
      </c>
      <c r="E40" s="2" t="str">
        <f>VLOOKUP(C40,Products!$A$2:$C$11,3,FALSE)</f>
        <v>R4141</v>
      </c>
      <c r="F40">
        <v>7644</v>
      </c>
    </row>
    <row r="41" spans="1:6" x14ac:dyDescent="0.25">
      <c r="A41">
        <v>2039</v>
      </c>
      <c r="B41">
        <v>116</v>
      </c>
      <c r="C41">
        <v>1001</v>
      </c>
      <c r="D41">
        <v>3</v>
      </c>
      <c r="E41" s="2" t="str">
        <f>VLOOKUP(C41,Products!$A$2:$C$11,3,FALSE)</f>
        <v>100</v>
      </c>
      <c r="F41">
        <v>11605.92</v>
      </c>
    </row>
    <row r="42" spans="1:6" x14ac:dyDescent="0.25">
      <c r="A42">
        <v>2040</v>
      </c>
      <c r="B42">
        <v>111</v>
      </c>
      <c r="C42">
        <v>1002</v>
      </c>
      <c r="D42">
        <v>4</v>
      </c>
      <c r="E42" s="2" t="str">
        <f>VLOOKUP(C42,Products!$A$2:$C$11,3,FALSE)</f>
        <v>4408</v>
      </c>
      <c r="F42">
        <v>10431.52</v>
      </c>
    </row>
    <row r="43" spans="1:6" x14ac:dyDescent="0.25">
      <c r="A43">
        <v>2041</v>
      </c>
      <c r="B43">
        <v>116</v>
      </c>
      <c r="C43">
        <v>1010</v>
      </c>
      <c r="D43">
        <v>4</v>
      </c>
      <c r="E43" s="2" t="str">
        <f>VLOOKUP(C43,Products!$A$2:$C$11,3,FALSE)</f>
        <v>R1376</v>
      </c>
      <c r="F43">
        <v>14576</v>
      </c>
    </row>
    <row r="44" spans="1:6" x14ac:dyDescent="0.25">
      <c r="A44">
        <v>2042</v>
      </c>
      <c r="B44">
        <v>111</v>
      </c>
      <c r="C44">
        <v>1010</v>
      </c>
      <c r="D44">
        <v>4</v>
      </c>
      <c r="E44" s="2" t="str">
        <f>VLOOKUP(C44,Products!$A$2:$C$11,3,FALSE)</f>
        <v>R1376</v>
      </c>
      <c r="F44">
        <v>15239.36</v>
      </c>
    </row>
    <row r="45" spans="1:6" x14ac:dyDescent="0.25">
      <c r="A45">
        <v>2043</v>
      </c>
      <c r="B45">
        <v>110</v>
      </c>
      <c r="C45">
        <v>1001</v>
      </c>
      <c r="D45">
        <v>1</v>
      </c>
      <c r="E45" s="2" t="str">
        <f>VLOOKUP(C45,Products!$A$2:$C$11,3,FALSE)</f>
        <v>100</v>
      </c>
      <c r="F45">
        <v>4243.7299999999996</v>
      </c>
    </row>
    <row r="46" spans="1:6" x14ac:dyDescent="0.25">
      <c r="A46">
        <v>2044</v>
      </c>
      <c r="B46">
        <v>106</v>
      </c>
      <c r="C46">
        <v>1009</v>
      </c>
      <c r="D46">
        <v>3</v>
      </c>
      <c r="E46" s="2" t="str">
        <f>VLOOKUP(C46,Products!$A$2:$C$11,3,FALSE)</f>
        <v>R4141</v>
      </c>
      <c r="F46">
        <v>10310.85</v>
      </c>
    </row>
    <row r="47" spans="1:6" x14ac:dyDescent="0.25">
      <c r="A47">
        <v>2045</v>
      </c>
      <c r="B47">
        <v>109</v>
      </c>
      <c r="C47">
        <v>1002</v>
      </c>
      <c r="D47">
        <v>4</v>
      </c>
      <c r="E47" s="2" t="str">
        <f>VLOOKUP(C47,Products!$A$2:$C$11,3,FALSE)</f>
        <v>4408</v>
      </c>
      <c r="F47">
        <v>0</v>
      </c>
    </row>
    <row r="48" spans="1:6" x14ac:dyDescent="0.25">
      <c r="A48">
        <v>2046</v>
      </c>
      <c r="B48">
        <v>102</v>
      </c>
      <c r="C48">
        <v>1005</v>
      </c>
      <c r="D48">
        <v>4</v>
      </c>
      <c r="E48" s="2" t="str">
        <f>VLOOKUP(C48,Products!$A$2:$C$11,3,FALSE)</f>
        <v>R4176</v>
      </c>
      <c r="F48">
        <v>11842</v>
      </c>
    </row>
    <row r="49" spans="1:6" x14ac:dyDescent="0.25">
      <c r="A49">
        <v>2047</v>
      </c>
      <c r="B49">
        <v>105</v>
      </c>
      <c r="C49">
        <v>1010</v>
      </c>
      <c r="D49">
        <v>2</v>
      </c>
      <c r="E49" s="2" t="str">
        <f>VLOOKUP(C49,Products!$A$2:$C$11,3,FALSE)</f>
        <v>R1376</v>
      </c>
      <c r="F49">
        <v>6214</v>
      </c>
    </row>
    <row r="50" spans="1:6" x14ac:dyDescent="0.25">
      <c r="A50">
        <v>2048</v>
      </c>
      <c r="B50">
        <v>116</v>
      </c>
      <c r="C50">
        <v>1001</v>
      </c>
      <c r="D50">
        <v>5</v>
      </c>
      <c r="E50" s="2" t="str">
        <f>VLOOKUP(C50,Products!$A$2:$C$11,3,FALSE)</f>
        <v>100</v>
      </c>
      <c r="F50">
        <v>22023.95</v>
      </c>
    </row>
    <row r="51" spans="1:6" x14ac:dyDescent="0.25">
      <c r="A51">
        <v>2049</v>
      </c>
      <c r="B51">
        <v>116</v>
      </c>
      <c r="C51">
        <v>1005</v>
      </c>
      <c r="D51">
        <v>4</v>
      </c>
      <c r="E51" s="2" t="str">
        <f>VLOOKUP(C51,Products!$A$2:$C$11,3,FALSE)</f>
        <v>R4176</v>
      </c>
      <c r="F51">
        <v>0</v>
      </c>
    </row>
    <row r="52" spans="1:6" x14ac:dyDescent="0.25">
      <c r="A52">
        <v>2050</v>
      </c>
      <c r="B52">
        <v>105</v>
      </c>
      <c r="C52">
        <v>1002</v>
      </c>
      <c r="D52">
        <v>1</v>
      </c>
      <c r="E52" s="2" t="str">
        <f>VLOOKUP(C52,Products!$A$2:$C$11,3,FALSE)</f>
        <v>4408</v>
      </c>
      <c r="F52">
        <v>1437</v>
      </c>
    </row>
    <row r="53" spans="1:6" x14ac:dyDescent="0.25">
      <c r="A53">
        <v>2051</v>
      </c>
      <c r="B53">
        <v>119</v>
      </c>
      <c r="C53">
        <v>1008</v>
      </c>
      <c r="D53">
        <v>5</v>
      </c>
      <c r="E53" s="2">
        <f>VLOOKUP(C53,Products!$A$2:$C$11,3,FALSE)</f>
        <v>3000</v>
      </c>
      <c r="F53">
        <v>0</v>
      </c>
    </row>
    <row r="54" spans="1:6" x14ac:dyDescent="0.25">
      <c r="A54">
        <v>2052</v>
      </c>
      <c r="B54">
        <v>106</v>
      </c>
      <c r="C54">
        <v>1010</v>
      </c>
      <c r="D54">
        <v>2</v>
      </c>
      <c r="E54" s="2" t="str">
        <f>VLOOKUP(C54,Products!$A$2:$C$11,3,FALSE)</f>
        <v>R1376</v>
      </c>
      <c r="F54">
        <v>0</v>
      </c>
    </row>
    <row r="55" spans="1:6" x14ac:dyDescent="0.25">
      <c r="A55">
        <v>2053</v>
      </c>
      <c r="B55">
        <v>110</v>
      </c>
      <c r="C55">
        <v>1010</v>
      </c>
      <c r="D55">
        <v>5</v>
      </c>
      <c r="E55" s="2" t="str">
        <f>VLOOKUP(C55,Products!$A$2:$C$11,3,FALSE)</f>
        <v>R1376</v>
      </c>
      <c r="F55">
        <v>0</v>
      </c>
    </row>
    <row r="56" spans="1:6" x14ac:dyDescent="0.25">
      <c r="A56">
        <v>2054</v>
      </c>
      <c r="B56">
        <v>108</v>
      </c>
      <c r="C56">
        <v>1002</v>
      </c>
      <c r="D56">
        <v>3</v>
      </c>
      <c r="E56" s="2" t="str">
        <f>VLOOKUP(C56,Products!$A$2:$C$11,3,FALSE)</f>
        <v>4408</v>
      </c>
      <c r="F56">
        <v>12917.46</v>
      </c>
    </row>
    <row r="57" spans="1:6" x14ac:dyDescent="0.25">
      <c r="A57">
        <v>2055</v>
      </c>
      <c r="B57">
        <v>111</v>
      </c>
      <c r="C57">
        <v>1004</v>
      </c>
      <c r="D57">
        <v>4</v>
      </c>
      <c r="E57" s="2" t="str">
        <f>VLOOKUP(C57,Products!$A$2:$C$11,3,FALSE)</f>
        <v>1914</v>
      </c>
      <c r="F57">
        <v>0</v>
      </c>
    </row>
    <row r="58" spans="1:6" x14ac:dyDescent="0.25">
      <c r="A58">
        <v>2056</v>
      </c>
      <c r="B58">
        <v>109</v>
      </c>
      <c r="C58">
        <v>1002</v>
      </c>
      <c r="D58">
        <v>3</v>
      </c>
      <c r="E58" s="2" t="str">
        <f>VLOOKUP(C58,Products!$A$2:$C$11,3,FALSE)</f>
        <v>4408</v>
      </c>
      <c r="F58">
        <v>0</v>
      </c>
    </row>
    <row r="59" spans="1:6" x14ac:dyDescent="0.25">
      <c r="A59">
        <v>2057</v>
      </c>
      <c r="B59">
        <v>112</v>
      </c>
      <c r="C59">
        <v>1005</v>
      </c>
      <c r="D59">
        <v>1</v>
      </c>
      <c r="E59" s="2" t="str">
        <f>VLOOKUP(C59,Products!$A$2:$C$11,3,FALSE)</f>
        <v>R4176</v>
      </c>
      <c r="F59">
        <v>3052.82</v>
      </c>
    </row>
    <row r="60" spans="1:6" x14ac:dyDescent="0.25">
      <c r="A60">
        <v>2058</v>
      </c>
      <c r="B60">
        <v>115</v>
      </c>
      <c r="C60">
        <v>1008</v>
      </c>
      <c r="D60">
        <v>4</v>
      </c>
      <c r="E60" s="2">
        <f>VLOOKUP(C60,Products!$A$2:$C$11,3,FALSE)</f>
        <v>3000</v>
      </c>
      <c r="F60">
        <v>0</v>
      </c>
    </row>
    <row r="61" spans="1:6" x14ac:dyDescent="0.25">
      <c r="A61">
        <v>2059</v>
      </c>
      <c r="B61">
        <v>120</v>
      </c>
      <c r="C61">
        <v>1004</v>
      </c>
      <c r="D61">
        <v>2</v>
      </c>
      <c r="E61" s="2" t="str">
        <f>VLOOKUP(C61,Products!$A$2:$C$11,3,FALSE)</f>
        <v>1914</v>
      </c>
      <c r="F61">
        <v>0</v>
      </c>
    </row>
    <row r="62" spans="1:6" x14ac:dyDescent="0.25">
      <c r="A62">
        <v>2060</v>
      </c>
      <c r="B62">
        <v>107</v>
      </c>
      <c r="C62">
        <v>1007</v>
      </c>
      <c r="D62">
        <v>5</v>
      </c>
      <c r="E62" s="2" t="str">
        <f>VLOOKUP(C62,Products!$A$2:$C$11,3,FALSE)</f>
        <v>4000</v>
      </c>
      <c r="F62">
        <v>2266.25</v>
      </c>
    </row>
    <row r="63" spans="1:6" x14ac:dyDescent="0.25">
      <c r="A63">
        <v>2061</v>
      </c>
      <c r="B63">
        <v>107</v>
      </c>
      <c r="C63">
        <v>1006</v>
      </c>
      <c r="D63">
        <v>1</v>
      </c>
      <c r="E63" s="2" t="str">
        <f>VLOOKUP(C63,Products!$A$2:$C$11,3,FALSE)</f>
        <v>2018</v>
      </c>
      <c r="F63">
        <v>3434</v>
      </c>
    </row>
    <row r="64" spans="1:6" x14ac:dyDescent="0.25">
      <c r="A64">
        <v>2062</v>
      </c>
      <c r="B64">
        <v>103</v>
      </c>
      <c r="C64">
        <v>1001</v>
      </c>
      <c r="D64">
        <v>4</v>
      </c>
      <c r="E64" s="2" t="str">
        <f>VLOOKUP(C64,Products!$A$2:$C$11,3,FALSE)</f>
        <v>100</v>
      </c>
      <c r="F64">
        <v>5908</v>
      </c>
    </row>
    <row r="65" spans="1:6" x14ac:dyDescent="0.25">
      <c r="A65">
        <v>2063</v>
      </c>
      <c r="B65">
        <v>112</v>
      </c>
      <c r="C65">
        <v>1003</v>
      </c>
      <c r="D65">
        <v>5</v>
      </c>
      <c r="E65" s="2" t="str">
        <f>VLOOKUP(C65,Products!$A$2:$C$11,3,FALSE)</f>
        <v>90</v>
      </c>
      <c r="F65">
        <v>0</v>
      </c>
    </row>
    <row r="66" spans="1:6" x14ac:dyDescent="0.25">
      <c r="A66">
        <v>2064</v>
      </c>
      <c r="B66">
        <v>109</v>
      </c>
      <c r="C66">
        <v>1002</v>
      </c>
      <c r="D66">
        <v>3</v>
      </c>
      <c r="E66" s="2" t="str">
        <f>VLOOKUP(C66,Products!$A$2:$C$11,3,FALSE)</f>
        <v>4408</v>
      </c>
      <c r="F66">
        <v>0</v>
      </c>
    </row>
    <row r="67" spans="1:6" x14ac:dyDescent="0.25">
      <c r="A67">
        <v>2065</v>
      </c>
      <c r="B67">
        <v>115</v>
      </c>
      <c r="C67">
        <v>1002</v>
      </c>
      <c r="D67">
        <v>2</v>
      </c>
      <c r="E67" s="2" t="str">
        <f>VLOOKUP(C67,Products!$A$2:$C$11,3,FALSE)</f>
        <v>4408</v>
      </c>
      <c r="F67">
        <v>0</v>
      </c>
    </row>
    <row r="68" spans="1:6" x14ac:dyDescent="0.25">
      <c r="A68">
        <v>2066</v>
      </c>
      <c r="B68">
        <v>117</v>
      </c>
      <c r="C68">
        <v>1002</v>
      </c>
      <c r="D68">
        <v>3</v>
      </c>
      <c r="E68" s="2" t="str">
        <f>VLOOKUP(C68,Products!$A$2:$C$11,3,FALSE)</f>
        <v>4408</v>
      </c>
      <c r="F68">
        <v>10305</v>
      </c>
    </row>
    <row r="69" spans="1:6" x14ac:dyDescent="0.25">
      <c r="A69">
        <v>2067</v>
      </c>
      <c r="B69">
        <v>105</v>
      </c>
      <c r="C69">
        <v>1001</v>
      </c>
      <c r="D69">
        <v>4</v>
      </c>
      <c r="E69" s="2" t="str">
        <f>VLOOKUP(C69,Products!$A$2:$C$11,3,FALSE)</f>
        <v>100</v>
      </c>
      <c r="F69">
        <v>1676</v>
      </c>
    </row>
    <row r="70" spans="1:6" x14ac:dyDescent="0.25">
      <c r="A70">
        <v>2068</v>
      </c>
      <c r="B70">
        <v>119</v>
      </c>
      <c r="C70">
        <v>1008</v>
      </c>
      <c r="D70">
        <v>3</v>
      </c>
      <c r="E70" s="2">
        <f>VLOOKUP(C70,Products!$A$2:$C$11,3,FALSE)</f>
        <v>3000</v>
      </c>
      <c r="F70">
        <v>0</v>
      </c>
    </row>
    <row r="71" spans="1:6" x14ac:dyDescent="0.25">
      <c r="A71">
        <v>2069</v>
      </c>
      <c r="B71">
        <v>114</v>
      </c>
      <c r="C71">
        <v>1008</v>
      </c>
      <c r="D71">
        <v>2</v>
      </c>
      <c r="E71" s="2">
        <f>VLOOKUP(C71,Products!$A$2:$C$11,3,FALSE)</f>
        <v>3000</v>
      </c>
      <c r="F71">
        <v>0</v>
      </c>
    </row>
    <row r="72" spans="1:6" x14ac:dyDescent="0.25">
      <c r="A72">
        <v>2070</v>
      </c>
      <c r="B72">
        <v>116</v>
      </c>
      <c r="C72">
        <v>1001</v>
      </c>
      <c r="D72">
        <v>2</v>
      </c>
      <c r="E72" s="2" t="str">
        <f>VLOOKUP(C72,Products!$A$2:$C$11,3,FALSE)</f>
        <v>100</v>
      </c>
      <c r="F72">
        <v>0</v>
      </c>
    </row>
    <row r="73" spans="1:6" x14ac:dyDescent="0.25">
      <c r="A73">
        <v>2071</v>
      </c>
      <c r="B73">
        <v>104</v>
      </c>
      <c r="C73">
        <v>1007</v>
      </c>
      <c r="D73">
        <v>4</v>
      </c>
      <c r="E73" s="2" t="str">
        <f>VLOOKUP(C73,Products!$A$2:$C$11,3,FALSE)</f>
        <v>4000</v>
      </c>
      <c r="F73">
        <v>0</v>
      </c>
    </row>
    <row r="74" spans="1:6" x14ac:dyDescent="0.25">
      <c r="A74">
        <v>2072</v>
      </c>
      <c r="B74">
        <v>118</v>
      </c>
      <c r="C74">
        <v>1002</v>
      </c>
      <c r="D74">
        <v>2</v>
      </c>
      <c r="E74" s="2" t="str">
        <f>VLOOKUP(C74,Products!$A$2:$C$11,3,FALSE)</f>
        <v>4408</v>
      </c>
      <c r="F74">
        <v>4768</v>
      </c>
    </row>
    <row r="75" spans="1:6" x14ac:dyDescent="0.25">
      <c r="A75">
        <v>2073</v>
      </c>
      <c r="B75">
        <v>120</v>
      </c>
      <c r="C75">
        <v>1004</v>
      </c>
      <c r="D75">
        <v>5</v>
      </c>
      <c r="E75" s="2" t="str">
        <f>VLOOKUP(C75,Products!$A$2:$C$11,3,FALSE)</f>
        <v>1914</v>
      </c>
      <c r="F75">
        <v>0</v>
      </c>
    </row>
    <row r="76" spans="1:6" x14ac:dyDescent="0.25">
      <c r="A76">
        <v>2074</v>
      </c>
      <c r="B76">
        <v>103</v>
      </c>
      <c r="C76">
        <v>1009</v>
      </c>
      <c r="D76">
        <v>3</v>
      </c>
      <c r="E76" s="2" t="str">
        <f>VLOOKUP(C76,Products!$A$2:$C$11,3,FALSE)</f>
        <v>R4141</v>
      </c>
      <c r="F76">
        <v>6615</v>
      </c>
    </row>
    <row r="77" spans="1:6" x14ac:dyDescent="0.25">
      <c r="A77">
        <v>2075</v>
      </c>
      <c r="B77">
        <v>103</v>
      </c>
      <c r="C77">
        <v>1008</v>
      </c>
      <c r="D77">
        <v>5</v>
      </c>
      <c r="E77" s="2">
        <f>VLOOKUP(C77,Products!$A$2:$C$11,3,FALSE)</f>
        <v>3000</v>
      </c>
      <c r="F77">
        <v>24665</v>
      </c>
    </row>
    <row r="78" spans="1:6" x14ac:dyDescent="0.25">
      <c r="A78">
        <v>2076</v>
      </c>
      <c r="B78">
        <v>118</v>
      </c>
      <c r="C78">
        <v>1001</v>
      </c>
      <c r="D78">
        <v>3</v>
      </c>
      <c r="E78" s="2" t="str">
        <f>VLOOKUP(C78,Products!$A$2:$C$11,3,FALSE)</f>
        <v>100</v>
      </c>
      <c r="F78">
        <v>0</v>
      </c>
    </row>
    <row r="79" spans="1:6" x14ac:dyDescent="0.25">
      <c r="A79">
        <v>2077</v>
      </c>
      <c r="B79">
        <v>114</v>
      </c>
      <c r="C79">
        <v>1007</v>
      </c>
      <c r="D79">
        <v>1</v>
      </c>
      <c r="E79" s="2" t="str">
        <f>VLOOKUP(C79,Products!$A$2:$C$11,3,FALSE)</f>
        <v>4000</v>
      </c>
      <c r="F79">
        <v>1817.83</v>
      </c>
    </row>
    <row r="80" spans="1:6" x14ac:dyDescent="0.25">
      <c r="A80">
        <v>2078</v>
      </c>
      <c r="B80">
        <v>118</v>
      </c>
      <c r="C80">
        <v>1007</v>
      </c>
      <c r="D80">
        <v>5</v>
      </c>
      <c r="E80" s="2" t="str">
        <f>VLOOKUP(C80,Products!$A$2:$C$11,3,FALSE)</f>
        <v>4000</v>
      </c>
      <c r="F80">
        <v>0</v>
      </c>
    </row>
    <row r="81" spans="1:6" x14ac:dyDescent="0.25">
      <c r="A81">
        <v>2079</v>
      </c>
      <c r="B81">
        <v>114</v>
      </c>
      <c r="C81">
        <v>1002</v>
      </c>
      <c r="D81">
        <v>4</v>
      </c>
      <c r="E81" s="2" t="str">
        <f>VLOOKUP(C81,Products!$A$2:$C$11,3,FALSE)</f>
        <v>4408</v>
      </c>
      <c r="F81">
        <v>0</v>
      </c>
    </row>
    <row r="82" spans="1:6" x14ac:dyDescent="0.25">
      <c r="A82">
        <v>2080</v>
      </c>
      <c r="B82">
        <v>103</v>
      </c>
      <c r="C82">
        <v>1008</v>
      </c>
      <c r="D82">
        <v>4</v>
      </c>
      <c r="E82" s="2">
        <f>VLOOKUP(C82,Products!$A$2:$C$11,3,FALSE)</f>
        <v>3000</v>
      </c>
      <c r="F82">
        <v>6730.48</v>
      </c>
    </row>
    <row r="83" spans="1:6" x14ac:dyDescent="0.25">
      <c r="A83">
        <v>2081</v>
      </c>
      <c r="B83">
        <v>109</v>
      </c>
      <c r="C83">
        <v>1009</v>
      </c>
      <c r="D83">
        <v>2</v>
      </c>
      <c r="E83" s="2" t="str">
        <f>VLOOKUP(C83,Products!$A$2:$C$11,3,FALSE)</f>
        <v>R4141</v>
      </c>
      <c r="F83">
        <v>5006</v>
      </c>
    </row>
    <row r="84" spans="1:6" x14ac:dyDescent="0.25">
      <c r="A84">
        <v>2082</v>
      </c>
      <c r="B84">
        <v>116</v>
      </c>
      <c r="C84">
        <v>1010</v>
      </c>
      <c r="D84">
        <v>1</v>
      </c>
      <c r="E84" s="2" t="str">
        <f>VLOOKUP(C84,Products!$A$2:$C$11,3,FALSE)</f>
        <v>R1376</v>
      </c>
      <c r="F84">
        <v>0</v>
      </c>
    </row>
    <row r="85" spans="1:6" x14ac:dyDescent="0.25">
      <c r="A85">
        <v>2083</v>
      </c>
      <c r="B85">
        <v>114</v>
      </c>
      <c r="C85">
        <v>1004</v>
      </c>
      <c r="D85">
        <v>1</v>
      </c>
      <c r="E85" s="2" t="str">
        <f>VLOOKUP(C85,Products!$A$2:$C$11,3,FALSE)</f>
        <v>1914</v>
      </c>
      <c r="F85">
        <v>37.47</v>
      </c>
    </row>
    <row r="86" spans="1:6" x14ac:dyDescent="0.25">
      <c r="A86">
        <v>2084</v>
      </c>
      <c r="B86">
        <v>102</v>
      </c>
      <c r="C86">
        <v>1008</v>
      </c>
      <c r="D86">
        <v>1</v>
      </c>
      <c r="E86" s="2">
        <f>VLOOKUP(C86,Products!$A$2:$C$11,3,FALSE)</f>
        <v>3000</v>
      </c>
      <c r="F86">
        <v>286.93</v>
      </c>
    </row>
    <row r="87" spans="1:6" x14ac:dyDescent="0.25">
      <c r="A87">
        <v>2085</v>
      </c>
      <c r="B87">
        <v>118</v>
      </c>
      <c r="C87">
        <v>1001</v>
      </c>
      <c r="D87">
        <v>3</v>
      </c>
      <c r="E87" s="2" t="str">
        <f>VLOOKUP(C87,Products!$A$2:$C$11,3,FALSE)</f>
        <v>100</v>
      </c>
      <c r="F87">
        <v>9069</v>
      </c>
    </row>
    <row r="88" spans="1:6" x14ac:dyDescent="0.25">
      <c r="A88">
        <v>2086</v>
      </c>
      <c r="B88">
        <v>101</v>
      </c>
      <c r="C88">
        <v>1005</v>
      </c>
      <c r="D88">
        <v>5</v>
      </c>
      <c r="E88" s="2" t="str">
        <f>VLOOKUP(C88,Products!$A$2:$C$11,3,FALSE)</f>
        <v>R4176</v>
      </c>
      <c r="F88">
        <v>10205</v>
      </c>
    </row>
    <row r="89" spans="1:6" x14ac:dyDescent="0.25">
      <c r="A89">
        <v>2087</v>
      </c>
      <c r="B89">
        <v>101</v>
      </c>
      <c r="C89">
        <v>1008</v>
      </c>
      <c r="D89">
        <v>5</v>
      </c>
      <c r="E89" s="2">
        <f>VLOOKUP(C89,Products!$A$2:$C$11,3,FALSE)</f>
        <v>3000</v>
      </c>
      <c r="F89">
        <v>0</v>
      </c>
    </row>
    <row r="90" spans="1:6" x14ac:dyDescent="0.25">
      <c r="A90">
        <v>2088</v>
      </c>
      <c r="B90">
        <v>115</v>
      </c>
      <c r="C90">
        <v>1005</v>
      </c>
      <c r="D90">
        <v>2</v>
      </c>
      <c r="E90" s="2" t="str">
        <f>VLOOKUP(C90,Products!$A$2:$C$11,3,FALSE)</f>
        <v>R4176</v>
      </c>
      <c r="F90">
        <v>0</v>
      </c>
    </row>
    <row r="91" spans="1:6" x14ac:dyDescent="0.25">
      <c r="A91">
        <v>2089</v>
      </c>
      <c r="B91">
        <v>111</v>
      </c>
      <c r="C91">
        <v>1003</v>
      </c>
      <c r="D91">
        <v>5</v>
      </c>
      <c r="E91" s="2" t="str">
        <f>VLOOKUP(C91,Products!$A$2:$C$11,3,FALSE)</f>
        <v>90</v>
      </c>
      <c r="F91">
        <v>0</v>
      </c>
    </row>
    <row r="92" spans="1:6" x14ac:dyDescent="0.25">
      <c r="A92">
        <v>2090</v>
      </c>
      <c r="B92">
        <v>107</v>
      </c>
      <c r="C92">
        <v>1002</v>
      </c>
      <c r="D92">
        <v>4</v>
      </c>
      <c r="E92" s="2" t="str">
        <f>VLOOKUP(C92,Products!$A$2:$C$11,3,FALSE)</f>
        <v>4408</v>
      </c>
      <c r="F92">
        <v>12396</v>
      </c>
    </row>
    <row r="93" spans="1:6" x14ac:dyDescent="0.25">
      <c r="A93">
        <v>2091</v>
      </c>
      <c r="B93">
        <v>103</v>
      </c>
      <c r="C93">
        <v>1010</v>
      </c>
      <c r="D93">
        <v>2</v>
      </c>
      <c r="E93" s="2" t="str">
        <f>VLOOKUP(C93,Products!$A$2:$C$11,3,FALSE)</f>
        <v>R1376</v>
      </c>
      <c r="F93">
        <v>3177.62</v>
      </c>
    </row>
    <row r="94" spans="1:6" x14ac:dyDescent="0.25">
      <c r="A94">
        <v>2092</v>
      </c>
      <c r="B94">
        <v>109</v>
      </c>
      <c r="C94">
        <v>1009</v>
      </c>
      <c r="D94">
        <v>4</v>
      </c>
      <c r="E94" s="2" t="str">
        <f>VLOOKUP(C94,Products!$A$2:$C$11,3,FALSE)</f>
        <v>R4141</v>
      </c>
      <c r="F94">
        <v>0</v>
      </c>
    </row>
    <row r="95" spans="1:6" x14ac:dyDescent="0.25">
      <c r="A95">
        <v>2093</v>
      </c>
      <c r="B95">
        <v>117</v>
      </c>
      <c r="C95">
        <v>1006</v>
      </c>
      <c r="D95">
        <v>2</v>
      </c>
      <c r="E95" s="2" t="str">
        <f>VLOOKUP(C95,Products!$A$2:$C$11,3,FALSE)</f>
        <v>2018</v>
      </c>
      <c r="F95">
        <v>454</v>
      </c>
    </row>
    <row r="96" spans="1:6" x14ac:dyDescent="0.25">
      <c r="A96">
        <v>2094</v>
      </c>
      <c r="B96">
        <v>105</v>
      </c>
      <c r="C96">
        <v>1007</v>
      </c>
      <c r="D96">
        <v>2</v>
      </c>
      <c r="E96" s="2" t="str">
        <f>VLOOKUP(C96,Products!$A$2:$C$11,3,FALSE)</f>
        <v>4000</v>
      </c>
      <c r="F96">
        <v>0</v>
      </c>
    </row>
    <row r="97" spans="1:6" x14ac:dyDescent="0.25">
      <c r="A97">
        <v>2095</v>
      </c>
      <c r="B97">
        <v>107</v>
      </c>
      <c r="C97">
        <v>1006</v>
      </c>
      <c r="D97">
        <v>5</v>
      </c>
      <c r="E97" s="2" t="str">
        <f>VLOOKUP(C97,Products!$A$2:$C$11,3,FALSE)</f>
        <v>2018</v>
      </c>
      <c r="F97">
        <v>12017.95</v>
      </c>
    </row>
    <row r="98" spans="1:6" x14ac:dyDescent="0.25">
      <c r="A98">
        <v>2096</v>
      </c>
      <c r="B98">
        <v>102</v>
      </c>
      <c r="C98">
        <v>1002</v>
      </c>
      <c r="D98">
        <v>1</v>
      </c>
      <c r="E98" s="2" t="str">
        <f>VLOOKUP(C98,Products!$A$2:$C$11,3,FALSE)</f>
        <v>4408</v>
      </c>
      <c r="F98">
        <v>3013</v>
      </c>
    </row>
    <row r="99" spans="1:6" x14ac:dyDescent="0.25">
      <c r="A99">
        <v>2097</v>
      </c>
      <c r="B99">
        <v>103</v>
      </c>
      <c r="C99">
        <v>1002</v>
      </c>
      <c r="D99">
        <v>4</v>
      </c>
      <c r="E99" s="2" t="str">
        <f>VLOOKUP(C99,Products!$A$2:$C$11,3,FALSE)</f>
        <v>4408</v>
      </c>
      <c r="F99">
        <v>0</v>
      </c>
    </row>
    <row r="100" spans="1:6" x14ac:dyDescent="0.25">
      <c r="A100">
        <v>2098</v>
      </c>
      <c r="B100">
        <v>111</v>
      </c>
      <c r="C100">
        <v>1002</v>
      </c>
      <c r="D100">
        <v>2</v>
      </c>
      <c r="E100" s="2" t="str">
        <f>VLOOKUP(C100,Products!$A$2:$C$11,3,FALSE)</f>
        <v>4408</v>
      </c>
      <c r="F100">
        <v>6839.84</v>
      </c>
    </row>
    <row r="101" spans="1:6" x14ac:dyDescent="0.25">
      <c r="A101">
        <v>2099</v>
      </c>
      <c r="B101">
        <v>113</v>
      </c>
      <c r="C101">
        <v>1003</v>
      </c>
      <c r="D101">
        <v>3</v>
      </c>
      <c r="E101" s="2" t="str">
        <f>VLOOKUP(C101,Products!$A$2:$C$11,3,FALSE)</f>
        <v>90</v>
      </c>
      <c r="F101">
        <v>3513.96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OrderItems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Albertyn</cp:lastModifiedBy>
  <dcterms:created xsi:type="dcterms:W3CDTF">2026-02-21T08:42:21Z</dcterms:created>
  <dcterms:modified xsi:type="dcterms:W3CDTF">2026-02-28T10:30:17Z</dcterms:modified>
</cp:coreProperties>
</file>